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ina\Downloads\"/>
    </mc:Choice>
  </mc:AlternateContent>
  <xr:revisionPtr revIDLastSave="0" documentId="13_ncr:1_{80633C15-5B64-4AEA-BF7D-A2F90278F148}" xr6:coauthVersionLast="47" xr6:coauthVersionMax="47" xr10:uidLastSave="{00000000-0000-0000-0000-000000000000}"/>
  <bookViews>
    <workbookView xWindow="-108" yWindow="-108" windowWidth="23256" windowHeight="13176" xr2:uid="{47981922-77C5-4EC3-A76E-98D6CE997DC2}"/>
  </bookViews>
  <sheets>
    <sheet name="Formula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9" l="1"/>
  <c r="H30" i="9"/>
  <c r="H31" i="9"/>
  <c r="H32" i="9"/>
  <c r="H33" i="9"/>
  <c r="H34" i="9"/>
  <c r="H35" i="9"/>
  <c r="H36" i="9"/>
  <c r="C17" i="9"/>
  <c r="C18" i="9"/>
  <c r="C19" i="9"/>
  <c r="C20" i="9"/>
  <c r="C21" i="9"/>
  <c r="C22" i="9"/>
  <c r="C23" i="9"/>
  <c r="C24" i="9"/>
  <c r="D17" i="9"/>
  <c r="D18" i="9"/>
  <c r="D19" i="9"/>
  <c r="D20" i="9"/>
  <c r="D21" i="9"/>
  <c r="D22" i="9"/>
  <c r="D23" i="9"/>
  <c r="D24" i="9"/>
  <c r="E40" i="9"/>
  <c r="E41" i="9"/>
  <c r="E42" i="9"/>
  <c r="E43" i="9"/>
  <c r="E44" i="9"/>
  <c r="E45" i="9"/>
  <c r="E39" i="9"/>
  <c r="D40" i="9"/>
  <c r="D41" i="9"/>
  <c r="D42" i="9"/>
  <c r="D43" i="9"/>
  <c r="D44" i="9"/>
  <c r="D45" i="9"/>
  <c r="C43" i="9"/>
  <c r="C44" i="9"/>
  <c r="C45" i="9"/>
  <c r="D39" i="9"/>
  <c r="C41" i="9"/>
  <c r="K16" i="9"/>
  <c r="C39" i="9" s="1"/>
  <c r="H28" i="9"/>
  <c r="G29" i="9"/>
  <c r="G30" i="9"/>
  <c r="G31" i="9"/>
  <c r="G28" i="9"/>
  <c r="F29" i="9"/>
  <c r="F30" i="9"/>
  <c r="F31" i="9"/>
  <c r="F28" i="9"/>
  <c r="E29" i="9"/>
  <c r="E30" i="9"/>
  <c r="E31" i="9"/>
  <c r="D29" i="9"/>
  <c r="D30" i="9"/>
  <c r="D31" i="9"/>
  <c r="C29" i="9"/>
  <c r="C30" i="9"/>
  <c r="C31" i="9"/>
  <c r="E28" i="9"/>
  <c r="D28" i="9"/>
  <c r="C28" i="9"/>
  <c r="I29" i="9"/>
  <c r="I30" i="9"/>
  <c r="I31" i="9"/>
  <c r="I32" i="9"/>
  <c r="I33" i="9"/>
  <c r="I34" i="9"/>
  <c r="I35" i="9"/>
  <c r="I36" i="9"/>
  <c r="C42" i="9" s="1"/>
  <c r="I28" i="9"/>
  <c r="K17" i="9"/>
  <c r="C40" i="9" s="1"/>
  <c r="K18" i="9"/>
  <c r="K19" i="9"/>
  <c r="K20" i="9"/>
  <c r="K21" i="9"/>
  <c r="K22" i="9"/>
  <c r="K23" i="9"/>
  <c r="K24" i="9"/>
  <c r="J16" i="9" a="1"/>
  <c r="J16" i="9" s="1"/>
  <c r="I16" i="9" a="1"/>
  <c r="I16" i="9" s="1"/>
  <c r="F35" i="9" s="1"/>
  <c r="H16" i="9" a="1"/>
  <c r="H16" i="9" s="1"/>
  <c r="G16" i="9" a="1"/>
  <c r="G16" i="9" s="1"/>
  <c r="E32" i="9" s="1"/>
  <c r="F16" i="9" a="1"/>
  <c r="F16" i="9" s="1"/>
  <c r="E16" i="9" a="1"/>
  <c r="E16" i="9" s="1"/>
  <c r="C16" i="9"/>
  <c r="D16" i="9"/>
  <c r="D33" i="9" l="1"/>
  <c r="F34" i="9"/>
  <c r="D32" i="9"/>
  <c r="F33" i="9"/>
  <c r="F32" i="9"/>
  <c r="C36" i="9"/>
  <c r="E36" i="9"/>
  <c r="C35" i="9"/>
  <c r="E35" i="9"/>
  <c r="C34" i="9"/>
  <c r="E34" i="9"/>
  <c r="G36" i="9"/>
  <c r="C33" i="9"/>
  <c r="E33" i="9"/>
  <c r="G35" i="9"/>
  <c r="C32" i="9"/>
  <c r="G34" i="9"/>
  <c r="G33" i="9"/>
  <c r="G32" i="9"/>
  <c r="D36" i="9"/>
  <c r="D35" i="9"/>
  <c r="F36" i="9"/>
  <c r="D3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<sst xmlns="http://schemas.openxmlformats.org/spreadsheetml/2006/main" count="69" uniqueCount="59">
  <si>
    <t>FirstName</t>
  </si>
  <si>
    <t>LastName</t>
  </si>
  <si>
    <t>Jim</t>
  </si>
  <si>
    <t>Halpert</t>
  </si>
  <si>
    <t>Pam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</si>
  <si>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</si>
  <si>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</si>
  <si>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</si>
  <si>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</si>
  <si>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</si>
  <si>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</si>
  <si>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</si>
  <si>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</si>
  <si>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</si>
  <si>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Stanley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</si>
  <si>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</si>
  <si>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</si>
  <si>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</si>
  <si>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</si>
  <si>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</si>
  <si>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</si>
  <si>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</si>
  <si>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</si>
  <si>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</si>
  <si>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</si>
  <si>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</si>
  <si>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</si>
  <si>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</si>
  <si>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</si>
  <si>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StartDate</t>
  </si>
  <si>
    <t>EndDate</t>
  </si>
  <si>
    <t>MAX() of StartDate</t>
  </si>
  <si>
    <t>MIN() of StartDate</t>
  </si>
  <si>
    <t>IFS() of job title</t>
  </si>
  <si>
    <t>IF() of age</t>
  </si>
  <si>
    <t>LEN(B2) of lastname</t>
  </si>
  <si>
    <t>LEFT() of firstname 3</t>
  </si>
  <si>
    <t>RIGHT() of salary</t>
  </si>
  <si>
    <t xml:space="preserve"> Beasley</t>
  </si>
  <si>
    <t xml:space="preserve"> Hudson</t>
  </si>
  <si>
    <t xml:space="preserve"> Flenderson</t>
  </si>
  <si>
    <t xml:space="preserve"> Palmer</t>
  </si>
  <si>
    <t>TRIM() of lastname</t>
  </si>
  <si>
    <t>gmails</t>
  </si>
  <si>
    <t>SUM()</t>
  </si>
  <si>
    <t>SUMIF()</t>
  </si>
  <si>
    <t>SUMIFS()</t>
  </si>
  <si>
    <t>COUNT()</t>
  </si>
  <si>
    <t>COUNTIF()</t>
  </si>
  <si>
    <t>COUNTIFS()</t>
  </si>
  <si>
    <t>Kevin Malone</t>
  </si>
  <si>
    <t xml:space="preserve">Full Name </t>
  </si>
  <si>
    <t>Full Name</t>
  </si>
  <si>
    <t>Toby  Flenderson</t>
  </si>
  <si>
    <t>Pam  Beasley</t>
  </si>
  <si>
    <t>Meredith  Palmer</t>
  </si>
  <si>
    <t>Email--XLOOKUP()</t>
  </si>
  <si>
    <t>XLOOKUP of names to find ID</t>
  </si>
  <si>
    <t>sum of id's with names XLOOKUP()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</si>
</sst>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4" borderId="1" xfId="0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14" fontId="1" fillId="0" borderId="6" xfId="0" applyNumberFormat="1" applyFont="1" applyBorder="1"/>
    <xf numFmtId="14" fontId="1" fillId="0" borderId="2" xfId="0" applyNumberFormat="1" applyFont="1" applyBorder="1"/>
    <xf numFmtId="0" fontId="1" fillId="0" borderId="2" xfId="0" applyFont="1" applyBorder="1"/>
    <xf numFmtId="0" fontId="1" fillId="0" borderId="9" xfId="0" applyFont="1" applyBorder="1"/>
    <xf numFmtId="0" fontId="2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2" fillId="0" borderId="0" xfId="0" applyFont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 codeName="Sheet1">
    <tabColor theme="9"/>
  </sheetPr>
  <dimension ref="A2:K45"/>
  <sheetViews>
    <sheetView tabSelected="1" zoomScale="47" zoomScaleNormal="40" workbookViewId="0">
      <selection activeCell="E23" sqref="E23"/>
    </sheetView>
  </sheetViews>
  <sheetFormatPr defaultColWidth="13.6640625" defaultRowHeight="18" x14ac:dyDescent="0.35"/>
  <cols>
    <col min="1" max="1" width="23.77734375" style="1" bestFit="1" customWidth="1"/>
    <col min="2" max="2" width="19.21875" style="1" customWidth="1"/>
    <col min="3" max="3" width="39.77734375" style="1" bestFit="1" customWidth="1"/>
    <col min="4" max="4" width="47.44140625" style="1" bestFit="1" customWidth="1"/>
    <col min="5" max="5" width="56.109375" style="1" bestFit="1" customWidth="1"/>
    <col min="6" max="6" width="25.44140625" style="1" bestFit="1" customWidth="1"/>
    <col min="7" max="7" width="33" style="1" bestFit="1" customWidth="1"/>
    <col min="8" max="8" width="34.44140625" style="1" bestFit="1" customWidth="1"/>
    <col min="9" max="9" width="39.77734375" style="1" bestFit="1" customWidth="1"/>
    <col min="10" max="10" width="30.5546875" style="1" bestFit="1" customWidth="1"/>
    <col min="11" max="11" width="23.77734375" style="1" bestFit="1" customWidth="1"/>
    <col min="12" max="12" width="8.88671875" style="1" bestFit="1" customWidth="1"/>
    <col min="13" max="13" width="14.77734375" style="1" bestFit="1" customWidth="1"/>
    <col min="14" max="14" width="18.5546875" style="1" customWidth="1"/>
    <col min="15" max="15" width="19" style="1" customWidth="1"/>
    <col min="16" max="16" width="15.109375" style="1" customWidth="1"/>
    <col min="17" max="16384" width="13.6640625" style="1"/>
  </cols>
  <sheetData>
    <row r="2" spans="1:11" ht="18.600000000000001" thickBot="1" x14ac:dyDescent="0.4"/>
    <row r="3" spans="1:11" ht="18.600000000000001" thickBot="1" x14ac:dyDescent="0.4">
      <c r="A3" s="20" t="s">
        <v>51</v>
      </c>
      <c r="C3" s="2" t="s">
        <v>15</v>
      </c>
      <c r="D3" s="2" t="s">
        <v>0</v>
      </c>
      <c r="E3" s="2" t="s">
        <v>1</v>
      </c>
      <c r="F3" s="2" t="s">
        <v>18</v>
      </c>
      <c r="G3" s="2" t="s">
        <v>19</v>
      </c>
      <c r="H3" s="2" t="s">
        <v>16</v>
      </c>
      <c r="I3" s="2" t="s">
        <v>17</v>
      </c>
      <c r="J3" s="2" t="s">
        <v>29</v>
      </c>
      <c r="K3" s="2" t="s">
        <v>30</v>
      </c>
    </row>
    <row r="4" spans="1:11" ht="18.600000000000001" thickBot="1" x14ac:dyDescent="0.4">
      <c r="A4" s="19" t="s">
        <v>53</v>
      </c>
      <c r="C4" s="3">
        <v>1001</v>
      </c>
      <c r="D4" s="3" t="s">
        <v>2</v>
      </c>
      <c r="E4" s="3" t="s">
        <v>3</v>
      </c>
      <c r="F4" s="3">
        <v>30</v>
      </c>
      <c r="G4" s="3" t="s">
        <v>21</v>
      </c>
      <c r="H4" s="3" t="s">
        <v>20</v>
      </c>
      <c r="I4" s="3">
        <v>45000</v>
      </c>
      <c r="J4" s="4">
        <v>37197</v>
      </c>
      <c r="K4" s="4">
        <v>42253</v>
      </c>
    </row>
    <row r="5" spans="1:11" ht="18.600000000000001" thickBot="1" x14ac:dyDescent="0.4">
      <c r="A5" s="17" t="s">
        <v>54</v>
      </c>
      <c r="C5" s="3">
        <v>1002</v>
      </c>
      <c r="D5" s="3" t="s">
        <v>4</v>
      </c>
      <c r="E5" s="3" t="s">
        <v>38</v>
      </c>
      <c r="F5" s="3">
        <v>30</v>
      </c>
      <c r="G5" s="3" t="s">
        <v>23</v>
      </c>
      <c r="H5" s="3" t="s">
        <v>22</v>
      </c>
      <c r="I5" s="3">
        <v>36000</v>
      </c>
      <c r="J5" s="4">
        <v>36436</v>
      </c>
      <c r="K5" s="4">
        <v>42287</v>
      </c>
    </row>
    <row r="6" spans="1:11" ht="18.600000000000001" thickBot="1" x14ac:dyDescent="0.4">
      <c r="A6" s="17" t="s">
        <v>55</v>
      </c>
      <c r="C6" s="3">
        <v>1003</v>
      </c>
      <c r="D6" s="3" t="s">
        <v>5</v>
      </c>
      <c r="E6" s="3" t="s">
        <v>6</v>
      </c>
      <c r="F6" s="3">
        <v>29</v>
      </c>
      <c r="G6" s="3" t="s">
        <v>21</v>
      </c>
      <c r="H6" s="3" t="s">
        <v>20</v>
      </c>
      <c r="I6" s="3">
        <v>63000</v>
      </c>
      <c r="J6" s="4">
        <v>36711</v>
      </c>
      <c r="K6" s="4">
        <v>42986</v>
      </c>
    </row>
    <row r="7" spans="1:11" ht="18.600000000000001" thickBot="1" x14ac:dyDescent="0.4">
      <c r="A7" s="18" t="s">
        <v>50</v>
      </c>
      <c r="C7" s="3">
        <v>1004</v>
      </c>
      <c r="D7" s="3" t="s">
        <v>12</v>
      </c>
      <c r="E7" s="3" t="s">
        <v>11</v>
      </c>
      <c r="F7" s="3">
        <v>31</v>
      </c>
      <c r="G7" s="3" t="s">
        <v>23</v>
      </c>
      <c r="H7" s="3" t="s">
        <v>24</v>
      </c>
      <c r="I7" s="3">
        <v>47000</v>
      </c>
      <c r="J7" s="4">
        <v>36530</v>
      </c>
      <c r="K7" s="4">
        <v>42341</v>
      </c>
    </row>
    <row r="8" spans="1:11" ht="18.600000000000001" thickBot="1" x14ac:dyDescent="0.4">
      <c r="C8" s="3">
        <v>1005</v>
      </c>
      <c r="D8" s="3" t="s">
        <v>13</v>
      </c>
      <c r="E8" s="3" t="s">
        <v>40</v>
      </c>
      <c r="F8" s="3">
        <v>32</v>
      </c>
      <c r="G8" s="3" t="s">
        <v>21</v>
      </c>
      <c r="H8" s="3" t="s">
        <v>25</v>
      </c>
      <c r="I8" s="3">
        <v>50000</v>
      </c>
      <c r="J8" s="4">
        <v>37017</v>
      </c>
      <c r="K8" s="4">
        <v>42977</v>
      </c>
    </row>
    <row r="9" spans="1:11" ht="18.600000000000001" thickBot="1" x14ac:dyDescent="0.4">
      <c r="C9" s="3">
        <v>1006</v>
      </c>
      <c r="D9" s="3" t="s">
        <v>7</v>
      </c>
      <c r="E9" s="3" t="s">
        <v>8</v>
      </c>
      <c r="F9" s="3">
        <v>35</v>
      </c>
      <c r="G9" s="3" t="s">
        <v>21</v>
      </c>
      <c r="H9" s="3" t="s">
        <v>26</v>
      </c>
      <c r="I9" s="3">
        <v>65000</v>
      </c>
      <c r="J9" s="4">
        <v>35040</v>
      </c>
      <c r="K9" s="4">
        <v>41528</v>
      </c>
    </row>
    <row r="10" spans="1:11" ht="18.600000000000001" thickBot="1" x14ac:dyDescent="0.4">
      <c r="C10" s="3">
        <v>1007</v>
      </c>
      <c r="D10" s="3" t="s">
        <v>28</v>
      </c>
      <c r="E10" s="3" t="s">
        <v>41</v>
      </c>
      <c r="F10" s="3">
        <v>32</v>
      </c>
      <c r="G10" s="3" t="s">
        <v>23</v>
      </c>
      <c r="H10" s="3" t="s">
        <v>27</v>
      </c>
      <c r="I10" s="3">
        <v>41000</v>
      </c>
      <c r="J10" s="4">
        <v>37933</v>
      </c>
      <c r="K10" s="4">
        <v>41551</v>
      </c>
    </row>
    <row r="11" spans="1:11" ht="18.600000000000001" thickBot="1" x14ac:dyDescent="0.4">
      <c r="C11" s="3">
        <v>1008</v>
      </c>
      <c r="D11" s="3" t="s">
        <v>14</v>
      </c>
      <c r="E11" s="3" t="s">
        <v>39</v>
      </c>
      <c r="F11" s="3">
        <v>38</v>
      </c>
      <c r="G11" s="3" t="s">
        <v>21</v>
      </c>
      <c r="H11" s="3" t="s">
        <v>20</v>
      </c>
      <c r="I11" s="3">
        <v>48000</v>
      </c>
      <c r="J11" s="4">
        <v>37416</v>
      </c>
      <c r="K11" s="4">
        <v>42116</v>
      </c>
    </row>
    <row r="12" spans="1:11" ht="18.600000000000001" thickBot="1" x14ac:dyDescent="0.4">
      <c r="C12" s="3">
        <v>1009</v>
      </c>
      <c r="D12" s="3" t="s">
        <v>9</v>
      </c>
      <c r="E12" s="3" t="s">
        <v>10</v>
      </c>
      <c r="F12" s="3">
        <v>31</v>
      </c>
      <c r="G12" s="3" t="s">
        <v>21</v>
      </c>
      <c r="H12" s="3" t="s">
        <v>24</v>
      </c>
      <c r="I12" s="3">
        <v>42000</v>
      </c>
      <c r="J12" s="4">
        <v>37843</v>
      </c>
      <c r="K12" s="4">
        <v>40800</v>
      </c>
    </row>
    <row r="14" spans="1:11" ht="18.600000000000001" thickBot="1" x14ac:dyDescent="0.4"/>
    <row r="15" spans="1:11" x14ac:dyDescent="0.35">
      <c r="C15" s="5" t="s">
        <v>31</v>
      </c>
      <c r="D15" s="6" t="s">
        <v>32</v>
      </c>
      <c r="E15" s="6" t="s">
        <v>34</v>
      </c>
      <c r="F15" s="6" t="s">
        <v>33</v>
      </c>
      <c r="G15" s="6" t="s">
        <v>35</v>
      </c>
      <c r="H15" s="6" t="s">
        <v>36</v>
      </c>
      <c r="I15" s="6" t="s">
        <v>37</v>
      </c>
      <c r="J15" s="6" t="s">
        <v>42</v>
      </c>
      <c r="K15" s="6" t="s">
        <v>52</v>
      </c>
    </row>
    <row r="16" spans="1:11" x14ac:dyDescent="0.35">
      <c r="C16" s="7">
        <f>MAX(J4:J12)</f>
        <v>37933</v>
      </c>
      <c r="D16" s="8">
        <f>MIN(J4:J12)</f>
        <v>35040</v>
      </c>
      <c r="E16" s="9" t="str" cm="1">
        <f t="array" ref="E16:E24">IF(F4:F12&gt;30,"OLD","YOUNG")</f>
        <v>YOUNG</v>
      </c>
      <c r="F16" s="9" t="str" cm="1">
        <f t="array" ref="F16:F24">_xlfn.IFS(H4:H12="Salesman","Sales",H4:H12="HR","Hire",H4:H12="accountant","ACC")</f>
        <v>Sales</v>
      </c>
      <c r="G16" s="9" cm="1">
        <f t="array" ref="G16:G24">LEN(E4:E12)</f>
        <v>7</v>
      </c>
      <c r="H16" s="9" t="str" cm="1">
        <f t="array" ref="H16:H24">LEFT(D4:D12,3)</f>
        <v>Jim</v>
      </c>
      <c r="I16" s="9" t="str" cm="1">
        <f t="array" ref="I16:I24">RIGHT(I4:I12,4)</f>
        <v>5000</v>
      </c>
      <c r="J16" s="9" t="str" cm="1">
        <f t="array" ref="J16:J24">TRIM(E4:E12)</f>
        <v>Halpert</v>
      </c>
      <c r="K16" s="9" t="str">
        <f>CONCATENATE(D4," ",E4)</f>
        <v>Jim Halpert</v>
      </c>
    </row>
    <row r="17" spans="3:11" x14ac:dyDescent="0.35">
      <c r="C17" s="7">
        <f t="shared" ref="C17:C24" si="0">MAX(J5:J13)</f>
        <v>37933</v>
      </c>
      <c r="D17" s="8">
        <f t="shared" ref="D17:D24" si="1">MIN(J5:J13)</f>
        <v>35040</v>
      </c>
      <c r="E17" s="9" t="str">
        <v>YOUNG</v>
      </c>
      <c r="F17" s="9" t="e">
        <v>#N/A</v>
      </c>
      <c r="G17" s="9">
        <v>8</v>
      </c>
      <c r="H17" s="9" t="str">
        <v>Pam</v>
      </c>
      <c r="I17" s="9" t="str">
        <v>6000</v>
      </c>
      <c r="J17" s="9" t="str">
        <v>Beasley</v>
      </c>
      <c r="K17" s="9" t="str">
        <f t="shared" ref="K17:K24" si="2">CONCATENATE(D5," ",E5)</f>
        <v>Pam  Beasley</v>
      </c>
    </row>
    <row r="18" spans="3:11" x14ac:dyDescent="0.35">
      <c r="C18" s="7">
        <f t="shared" si="0"/>
        <v>37933</v>
      </c>
      <c r="D18" s="8">
        <f t="shared" si="1"/>
        <v>35040</v>
      </c>
      <c r="E18" s="9" t="str">
        <v>YOUNG</v>
      </c>
      <c r="F18" s="9" t="str">
        <v>Sales</v>
      </c>
      <c r="G18" s="9">
        <v>7</v>
      </c>
      <c r="H18" s="9" t="str">
        <v>Dwi</v>
      </c>
      <c r="I18" s="9" t="str">
        <v>3000</v>
      </c>
      <c r="J18" s="9" t="str">
        <v>Schrute</v>
      </c>
      <c r="K18" s="9" t="str">
        <f t="shared" si="2"/>
        <v>Dwight Schrute</v>
      </c>
    </row>
    <row r="19" spans="3:11" x14ac:dyDescent="0.35">
      <c r="C19" s="7">
        <f t="shared" si="0"/>
        <v>37933</v>
      </c>
      <c r="D19" s="8">
        <f t="shared" si="1"/>
        <v>35040</v>
      </c>
      <c r="E19" s="9" t="str">
        <v>OLD</v>
      </c>
      <c r="F19" s="9" t="str">
        <v>ACC</v>
      </c>
      <c r="G19" s="9">
        <v>6</v>
      </c>
      <c r="H19" s="9" t="str">
        <v>Ang</v>
      </c>
      <c r="I19" s="9" t="str">
        <v>7000</v>
      </c>
      <c r="J19" s="9" t="str">
        <v>Martin</v>
      </c>
      <c r="K19" s="9" t="str">
        <f t="shared" si="2"/>
        <v>Angela Martin</v>
      </c>
    </row>
    <row r="20" spans="3:11" x14ac:dyDescent="0.35">
      <c r="C20" s="7">
        <f t="shared" si="0"/>
        <v>37933</v>
      </c>
      <c r="D20" s="8">
        <f t="shared" si="1"/>
        <v>35040</v>
      </c>
      <c r="E20" s="9" t="str">
        <v>OLD</v>
      </c>
      <c r="F20" s="9" t="str">
        <v>Hire</v>
      </c>
      <c r="G20" s="9">
        <v>11</v>
      </c>
      <c r="H20" s="9" t="str">
        <v>Tob</v>
      </c>
      <c r="I20" s="9" t="str">
        <v>0000</v>
      </c>
      <c r="J20" s="9" t="str">
        <v>Flenderson</v>
      </c>
      <c r="K20" s="9" t="str">
        <f t="shared" si="2"/>
        <v>Toby  Flenderson</v>
      </c>
    </row>
    <row r="21" spans="3:11" x14ac:dyDescent="0.35">
      <c r="C21" s="7">
        <f t="shared" si="0"/>
        <v>37933</v>
      </c>
      <c r="D21" s="8">
        <f t="shared" si="1"/>
        <v>35040</v>
      </c>
      <c r="E21" s="9" t="str">
        <v>OLD</v>
      </c>
      <c r="F21" s="9" t="e">
        <v>#N/A</v>
      </c>
      <c r="G21" s="9">
        <v>5</v>
      </c>
      <c r="H21" s="9" t="str">
        <v>Mic</v>
      </c>
      <c r="I21" s="9" t="str">
        <v>5000</v>
      </c>
      <c r="J21" s="9" t="str">
        <v>Scott</v>
      </c>
      <c r="K21" s="9" t="str">
        <f t="shared" si="2"/>
        <v>Michael Scott</v>
      </c>
    </row>
    <row r="22" spans="3:11" x14ac:dyDescent="0.35">
      <c r="C22" s="7">
        <f t="shared" si="0"/>
        <v>37933</v>
      </c>
      <c r="D22" s="8">
        <f t="shared" si="1"/>
        <v>37416</v>
      </c>
      <c r="E22" s="9" t="str">
        <v>OLD</v>
      </c>
      <c r="F22" s="9" t="e">
        <v>#N/A</v>
      </c>
      <c r="G22" s="9">
        <v>7</v>
      </c>
      <c r="H22" s="9" t="str">
        <v>Mer</v>
      </c>
      <c r="I22" s="9" t="str">
        <v>1000</v>
      </c>
      <c r="J22" s="9" t="str">
        <v>Palmer</v>
      </c>
      <c r="K22" s="9" t="str">
        <f t="shared" si="2"/>
        <v>Meredith  Palmer</v>
      </c>
    </row>
    <row r="23" spans="3:11" x14ac:dyDescent="0.35">
      <c r="C23" s="7">
        <f t="shared" si="0"/>
        <v>37843</v>
      </c>
      <c r="D23" s="8">
        <f t="shared" si="1"/>
        <v>37416</v>
      </c>
      <c r="E23" s="9" t="str">
        <v>OLD</v>
      </c>
      <c r="F23" s="9" t="str">
        <v>Sales</v>
      </c>
      <c r="G23" s="9">
        <v>7</v>
      </c>
      <c r="H23" s="9" t="str">
        <v>Sta</v>
      </c>
      <c r="I23" s="9" t="str">
        <v>8000</v>
      </c>
      <c r="J23" s="9" t="str">
        <v>Hudson</v>
      </c>
      <c r="K23" s="9" t="str">
        <f t="shared" si="2"/>
        <v>Stanley  Hudson</v>
      </c>
    </row>
    <row r="24" spans="3:11" ht="18.600000000000001" thickBot="1" x14ac:dyDescent="0.4">
      <c r="C24" s="7">
        <f t="shared" si="0"/>
        <v>37843</v>
      </c>
      <c r="D24" s="8">
        <f t="shared" si="1"/>
        <v>37843</v>
      </c>
      <c r="E24" s="10" t="str">
        <v>OLD</v>
      </c>
      <c r="F24" s="10" t="str">
        <v>ACC</v>
      </c>
      <c r="G24" s="10">
        <v>6</v>
      </c>
      <c r="H24" s="10" t="str">
        <v>Kev</v>
      </c>
      <c r="I24" s="10" t="str">
        <v>2000</v>
      </c>
      <c r="J24" s="10" t="str">
        <v>Malone</v>
      </c>
      <c r="K24" s="10" t="str">
        <f t="shared" si="2"/>
        <v>Kevin Malone</v>
      </c>
    </row>
    <row r="26" spans="3:11" ht="18.600000000000001" thickBot="1" x14ac:dyDescent="0.4"/>
    <row r="27" spans="3:11" x14ac:dyDescent="0.35">
      <c r="C27" s="5" t="s">
        <v>44</v>
      </c>
      <c r="D27" s="6" t="s">
        <v>45</v>
      </c>
      <c r="E27" s="6" t="s">
        <v>46</v>
      </c>
      <c r="F27" s="6" t="s">
        <v>47</v>
      </c>
      <c r="G27" s="6" t="s">
        <v>48</v>
      </c>
      <c r="H27" s="11" t="s">
        <v>49</v>
      </c>
      <c r="I27" s="11" t="s">
        <v>43</v>
      </c>
    </row>
    <row r="28" spans="3:11" x14ac:dyDescent="0.35">
      <c r="C28" s="12">
        <f>SUM(I4:I12)</f>
        <v>437000</v>
      </c>
      <c r="D28" s="9">
        <f>SUMIF(I4:I12,"&gt;50000")</f>
        <v>128000</v>
      </c>
      <c r="E28" s="9">
        <f>SUMIFS(I4:I12,G4:G12,"FEMALE",F4:F12,"&gt;30")</f>
        <v>88000</v>
      </c>
      <c r="F28" s="9">
        <f>COUNT(I4:I12)</f>
        <v>9</v>
      </c>
      <c r="G28" s="9">
        <f>COUNTIF(I4:I12,"&gt;45000")</f>
        <v>5</v>
      </c>
      <c r="H28" s="13">
        <f>COUNTIFS(C4:C12,"&gt;1005",G4:G12,"MALE")</f>
        <v>3</v>
      </c>
      <c r="I28" s="13" t="str">
        <f t="shared" ref="I28:I36" si="3">CONCATENATE(D4,".",E4,"@gmail.com")</f>
        <v>Jim.Halpert@gmail.com</v>
      </c>
    </row>
    <row r="29" spans="3:11" x14ac:dyDescent="0.35">
      <c r="C29" s="12">
        <f t="shared" ref="C29:C36" si="4">SUM(I5:I13)</f>
        <v>392000</v>
      </c>
      <c r="D29" s="9">
        <f t="shared" ref="D29:D36" si="5">SUMIF(I5:I13,"&gt;50000")</f>
        <v>128000</v>
      </c>
      <c r="E29" s="9">
        <f t="shared" ref="E29:E36" si="6">SUMIFS(I5:I13,G5:G13,"FEMALE",F5:F13,"&gt;30")</f>
        <v>88000</v>
      </c>
      <c r="F29" s="9">
        <f t="shared" ref="F29:F36" si="7">COUNT(I5:I13)</f>
        <v>8</v>
      </c>
      <c r="G29" s="9">
        <f t="shared" ref="G29:G36" si="8">COUNTIF(I5:I13,"&gt;45000")</f>
        <v>5</v>
      </c>
      <c r="H29" s="13">
        <f t="shared" ref="H29:H36" si="9">COUNTIFS(C5:C13,"&gt;1005",G5:G13,"MALE")</f>
        <v>3</v>
      </c>
      <c r="I29" s="13" t="str">
        <f t="shared" si="3"/>
        <v>Pam. Beasley@gmail.com</v>
      </c>
    </row>
    <row r="30" spans="3:11" x14ac:dyDescent="0.35">
      <c r="C30" s="12">
        <f t="shared" si="4"/>
        <v>356000</v>
      </c>
      <c r="D30" s="9">
        <f t="shared" si="5"/>
        <v>128000</v>
      </c>
      <c r="E30" s="9">
        <f t="shared" si="6"/>
        <v>88000</v>
      </c>
      <c r="F30" s="9">
        <f t="shared" si="7"/>
        <v>7</v>
      </c>
      <c r="G30" s="9">
        <f t="shared" si="8"/>
        <v>5</v>
      </c>
      <c r="H30" s="13">
        <f t="shared" si="9"/>
        <v>3</v>
      </c>
      <c r="I30" s="13" t="str">
        <f t="shared" si="3"/>
        <v>Dwight.Schrute@gmail.com</v>
      </c>
    </row>
    <row r="31" spans="3:11" x14ac:dyDescent="0.35">
      <c r="C31" s="12">
        <f t="shared" si="4"/>
        <v>293000</v>
      </c>
      <c r="D31" s="9">
        <f t="shared" si="5"/>
        <v>65000</v>
      </c>
      <c r="E31" s="9">
        <f t="shared" si="6"/>
        <v>88000</v>
      </c>
      <c r="F31" s="9">
        <f t="shared" si="7"/>
        <v>6</v>
      </c>
      <c r="G31" s="9">
        <f t="shared" si="8"/>
        <v>4</v>
      </c>
      <c r="H31" s="13">
        <f t="shared" si="9"/>
        <v>3</v>
      </c>
      <c r="I31" s="13" t="str">
        <f t="shared" si="3"/>
        <v>Angela.Martin@gmail.com</v>
      </c>
    </row>
    <row r="32" spans="3:11" x14ac:dyDescent="0.35">
      <c r="C32" s="12">
        <f t="shared" si="4"/>
        <v>246000</v>
      </c>
      <c r="D32" s="9">
        <f t="shared" si="5"/>
        <v>65000</v>
      </c>
      <c r="E32" s="9">
        <f t="shared" si="6"/>
        <v>41000</v>
      </c>
      <c r="F32" s="9">
        <f t="shared" si="7"/>
        <v>5</v>
      </c>
      <c r="G32" s="9">
        <f t="shared" si="8"/>
        <v>3</v>
      </c>
      <c r="H32" s="13">
        <f t="shared" si="9"/>
        <v>3</v>
      </c>
      <c r="I32" s="13" t="str">
        <f t="shared" si="3"/>
        <v>Toby. Flenderson@gmail.com</v>
      </c>
    </row>
    <row r="33" spans="3:9" x14ac:dyDescent="0.35">
      <c r="C33" s="12">
        <f t="shared" si="4"/>
        <v>196000</v>
      </c>
      <c r="D33" s="9">
        <f t="shared" si="5"/>
        <v>65000</v>
      </c>
      <c r="E33" s="9">
        <f t="shared" si="6"/>
        <v>41000</v>
      </c>
      <c r="F33" s="9">
        <f t="shared" si="7"/>
        <v>4</v>
      </c>
      <c r="G33" s="9">
        <f t="shared" si="8"/>
        <v>2</v>
      </c>
      <c r="H33" s="13">
        <f t="shared" si="9"/>
        <v>3</v>
      </c>
      <c r="I33" s="13" t="str">
        <f t="shared" si="3"/>
        <v>Michael.Scott@gmail.com</v>
      </c>
    </row>
    <row r="34" spans="3:9" x14ac:dyDescent="0.35">
      <c r="C34" s="12">
        <f t="shared" si="4"/>
        <v>131000</v>
      </c>
      <c r="D34" s="9">
        <f t="shared" si="5"/>
        <v>0</v>
      </c>
      <c r="E34" s="9">
        <f t="shared" si="6"/>
        <v>41000</v>
      </c>
      <c r="F34" s="9">
        <f t="shared" si="7"/>
        <v>3</v>
      </c>
      <c r="G34" s="9">
        <f t="shared" si="8"/>
        <v>1</v>
      </c>
      <c r="H34" s="13">
        <f t="shared" si="9"/>
        <v>2</v>
      </c>
      <c r="I34" s="13" t="str">
        <f t="shared" si="3"/>
        <v>Meredith. Palmer@gmail.com</v>
      </c>
    </row>
    <row r="35" spans="3:9" x14ac:dyDescent="0.35">
      <c r="C35" s="12">
        <f t="shared" si="4"/>
        <v>90000</v>
      </c>
      <c r="D35" s="9">
        <f t="shared" si="5"/>
        <v>0</v>
      </c>
      <c r="E35" s="9">
        <f t="shared" si="6"/>
        <v>0</v>
      </c>
      <c r="F35" s="9">
        <f t="shared" si="7"/>
        <v>2</v>
      </c>
      <c r="G35" s="9">
        <f t="shared" si="8"/>
        <v>1</v>
      </c>
      <c r="H35" s="13">
        <f t="shared" si="9"/>
        <v>2</v>
      </c>
      <c r="I35" s="13" t="str">
        <f t="shared" si="3"/>
        <v>Stanley. Hudson@gmail.com</v>
      </c>
    </row>
    <row r="36" spans="3:9" ht="18.600000000000001" thickBot="1" x14ac:dyDescent="0.4">
      <c r="C36" s="14">
        <f t="shared" si="4"/>
        <v>42000</v>
      </c>
      <c r="D36" s="10">
        <f t="shared" si="5"/>
        <v>0</v>
      </c>
      <c r="E36" s="10">
        <f t="shared" si="6"/>
        <v>0</v>
      </c>
      <c r="F36" s="10">
        <f t="shared" si="7"/>
        <v>1</v>
      </c>
      <c r="G36" s="10">
        <f t="shared" si="8"/>
        <v>0</v>
      </c>
      <c r="H36" s="13">
        <f t="shared" si="9"/>
        <v>1</v>
      </c>
      <c r="I36" s="15" t="str">
        <f t="shared" si="3"/>
        <v>Kevin.Malone@gmail.com</v>
      </c>
    </row>
    <row r="38" spans="3:9" x14ac:dyDescent="0.35">
      <c r="C38" s="16" t="s">
        <v>56</v>
      </c>
      <c r="D38" s="16" t="s">
        <v>57</v>
      </c>
      <c r="E38" s="16" t="s">
        <v>58</v>
      </c>
    </row>
    <row r="39" spans="3:9" x14ac:dyDescent="0.35">
      <c r="C39" s="1" t="str">
        <f t="shared" ref="C39:C45" si="10">_xlfn.XLOOKUP(A4,K16:K24,I28:I36)</f>
        <v>Toby. Flenderson@gmail.com</v>
      </c>
      <c r="D39" s="1">
        <f>_xlfn.XLOOKUP(D6,D4:D12,C4:C12)</f>
        <v>1003</v>
      </c>
      <c r="E39" s="1">
        <f>SUM(_xlfn.XLOOKUP(E6,E4:E12,C4:C12):_xlfn.XLOOKUP(E7,E4:E12,C4:C12))</f>
        <v>2007</v>
      </c>
    </row>
    <row r="40" spans="3:9" x14ac:dyDescent="0.35">
      <c r="C40" s="1" t="str">
        <f t="shared" si="10"/>
        <v>Pam. Beasley@gmail.com</v>
      </c>
      <c r="D40" s="1">
        <f t="shared" ref="D40:D45" si="11">_xlfn.XLOOKUP(D7,D5:D13,C5:C13)</f>
        <v>1004</v>
      </c>
      <c r="E40" s="1">
        <f>SUM(_xlfn.XLOOKUP(E7,E5:E13,C5:C13):_xlfn.XLOOKUP(E8,E5:E13,C5:C13))</f>
        <v>2009</v>
      </c>
    </row>
    <row r="41" spans="3:9" x14ac:dyDescent="0.35">
      <c r="C41" s="1" t="str">
        <f t="shared" si="10"/>
        <v>Meredith. Palmer@gmail.com</v>
      </c>
      <c r="D41" s="1">
        <f t="shared" si="11"/>
        <v>1005</v>
      </c>
      <c r="E41" s="1">
        <f>SUM(_xlfn.XLOOKUP(E8,E6:E14,C6:C14):_xlfn.XLOOKUP(E9,E6:E14,C6:C14))</f>
        <v>2011</v>
      </c>
    </row>
    <row r="42" spans="3:9" x14ac:dyDescent="0.35">
      <c r="C42" s="1" t="str">
        <f t="shared" si="10"/>
        <v>Kevin.Malone@gmail.com</v>
      </c>
      <c r="D42" s="1">
        <f t="shared" si="11"/>
        <v>1006</v>
      </c>
      <c r="E42" s="1">
        <f>SUM(_xlfn.XLOOKUP(E9,E7:E15,C7:C15):_xlfn.XLOOKUP(E10,E7:E15,C7:C15))</f>
        <v>2013</v>
      </c>
    </row>
    <row r="43" spans="3:9" x14ac:dyDescent="0.35">
      <c r="C43" s="1">
        <f t="shared" si="10"/>
        <v>0</v>
      </c>
      <c r="D43" s="1">
        <f t="shared" si="11"/>
        <v>1007</v>
      </c>
      <c r="E43" s="1">
        <f>SUM(_xlfn.XLOOKUP(E10,E8:E16,C8:C16):_xlfn.XLOOKUP(E11,E8:E16,C8:C16))</f>
        <v>2015</v>
      </c>
    </row>
    <row r="44" spans="3:9" x14ac:dyDescent="0.35">
      <c r="C44" s="1">
        <f t="shared" si="10"/>
        <v>0</v>
      </c>
      <c r="D44" s="1">
        <f t="shared" si="11"/>
        <v>1008</v>
      </c>
      <c r="E44" s="1">
        <f>SUM(_xlfn.XLOOKUP(E11,E9:E17,C9:C17):_xlfn.XLOOKUP(E12,E9:E17,C9:C17))</f>
        <v>2017</v>
      </c>
    </row>
    <row r="45" spans="3:9" x14ac:dyDescent="0.35">
      <c r="C45" s="1">
        <f t="shared" si="10"/>
        <v>0</v>
      </c>
      <c r="D45" s="1">
        <f t="shared" si="11"/>
        <v>1009</v>
      </c>
      <c r="E45" s="1">
        <f>SUM(_xlfn.XLOOKUP(E12,E10:E18,C10:C18):_xlfn.XLOOKUP(E13,E10:E18,C10:C18))</f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Abinav Gopalapuram</cp:lastModifiedBy>
  <dcterms:created xsi:type="dcterms:W3CDTF">2021-12-16T14:18:34Z</dcterms:created>
  <dcterms:modified xsi:type="dcterms:W3CDTF">2026-06-15T06:24:03Z</dcterms:modified>
</cp:coreProperties>
</file>